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miteduau-my.sharepoint.com/personal/alessio_bonti_rmit_edu_au/Documents/Teaching/Capstone/Assignment 1/"/>
    </mc:Choice>
  </mc:AlternateContent>
  <xr:revisionPtr revIDLastSave="18" documentId="8_{0E3B5EFD-78D3-43BC-A2A8-12513D5D5BEB}" xr6:coauthVersionLast="47" xr6:coauthVersionMax="47" xr10:uidLastSave="{4E05D772-DE71-4807-93C9-4D5FDBB6E392}"/>
  <bookViews>
    <workbookView xWindow="-120" yWindow="-120" windowWidth="38640" windowHeight="21120" tabRatio="500" xr2:uid="{00000000-000D-0000-FFFF-FFFF00000000}"/>
  </bookViews>
  <sheets>
    <sheet name="Instructions" sheetId="1" r:id="rId1"/>
    <sheet name="Task Plan &amp; Gantt" sheetId="2" r:id="rId2"/>
    <sheet name="Weekly Workload Chec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D9" i="3"/>
  <c r="C9" i="3"/>
  <c r="B9" i="3"/>
  <c r="D8" i="3"/>
  <c r="C8" i="3"/>
  <c r="B8" i="3"/>
  <c r="E8" i="3" s="1"/>
  <c r="F8" i="3" s="1"/>
  <c r="D7" i="3"/>
  <c r="C7" i="3"/>
  <c r="B7" i="3"/>
  <c r="D6" i="3"/>
  <c r="C6" i="3"/>
  <c r="B6" i="3"/>
  <c r="D5" i="3"/>
  <c r="C5" i="3"/>
  <c r="E6" i="3" l="1"/>
  <c r="F6" i="3" s="1"/>
  <c r="E9" i="3"/>
  <c r="F9" i="3" s="1"/>
  <c r="E5" i="3"/>
  <c r="F5" i="3" s="1"/>
  <c r="E7" i="3"/>
  <c r="F7" i="3" s="1"/>
</calcChain>
</file>

<file path=xl/sharedStrings.xml><?xml version="1.0" encoding="utf-8"?>
<sst xmlns="http://schemas.openxmlformats.org/spreadsheetml/2006/main" count="66" uniqueCount="55">
  <si>
    <t>Sprint Planning — Instructions &amp; Legend</t>
  </si>
  <si>
    <t>COSC2408 Programming Project 1</t>
  </si>
  <si>
    <t>What this workbook is for</t>
  </si>
  <si>
    <t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t>
  </si>
  <si>
    <t>The 240-minute rule</t>
  </si>
  <si>
    <t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t>
  </si>
  <si>
    <t>How to use the Task Plan &amp; Gantt tab</t>
  </si>
  <si>
    <t>1.  Delete the yellow example row once you understand the format — it is not a real task.</t>
  </si>
  <si>
    <t>2.  Add one row per task: name it, assign an Owner, estimate the minutes, set the Week (1–3), the Start Day WITHIN that week (1 = Monday, 5 = Friday) and the Duration in days.</t>
  </si>
  <si>
    <t>3.  The Gantt bar on the right fills in automatically based on Start Day and Duration — you don't edit it directly.</t>
  </si>
  <si>
    <t>4.  Use Dependencies to note if a task can't start until another Task ID is done.</t>
  </si>
  <si>
    <t>5.  Update Status as the sprint progresses — this tab doubles as your working plan, not just a one-off submission.</t>
  </si>
  <si>
    <t>Editable vs computed</t>
  </si>
  <si>
    <t>Submission</t>
  </si>
  <si>
    <t>Rename this file  x - team name - S1W7_ganttplan  (e.g. 90 - Food Delivery System - S1W7_ganttplan) and submit alongside your other Week 7 files. It plans the upcoming sprint, so it's due the same week as your Playback.</t>
  </si>
  <si>
    <t>Colour key</t>
  </si>
  <si>
    <t xml:space="preserve">   Example row — delete before submitting</t>
  </si>
  <si>
    <t xml:space="preserve">   Weekly Workload Check: meets the 240-minute minimum</t>
  </si>
  <si>
    <t xml:space="preserve">   Weekly Workload Check: under the 240-minute minimum</t>
  </si>
  <si>
    <t>Team ___ — Next-Sprint Task Plan &amp; Gantt   |   Sprint __ (Weeks __–__)</t>
  </si>
  <si>
    <t>Every member needs ≥240 min/week. See the Instructions tab before editing.</t>
  </si>
  <si>
    <t>Task ID</t>
  </si>
  <si>
    <t>Task Name</t>
  </si>
  <si>
    <t>Owner</t>
  </si>
  <si>
    <t>Est. Minutes</t>
  </si>
  <si>
    <t>Week</t>
  </si>
  <si>
    <t>Start Day
(1=Mon–5=Fri)</t>
  </si>
  <si>
    <t>Duration (days)</t>
  </si>
  <si>
    <t>Dependencies</t>
  </si>
  <si>
    <t>Week 1</t>
  </si>
  <si>
    <t>Week 2</t>
  </si>
  <si>
    <t>Week 3</t>
  </si>
  <si>
    <t>Mon</t>
  </si>
  <si>
    <t>Tue</t>
  </si>
  <si>
    <t>Wed</t>
  </si>
  <si>
    <t>Thu</t>
  </si>
  <si>
    <t>Fri</t>
  </si>
  <si>
    <t>T1</t>
  </si>
  <si>
    <t>Design DB schema for tutor-subject matching</t>
  </si>
  <si>
    <t>Dev 1</t>
  </si>
  <si>
    <t>-</t>
  </si>
  <si>
    <t>Weekly Workload Check — 240 min (4 hrs) minimum per person, per week</t>
  </si>
  <si>
    <t>Computed automatically from the Task Plan &amp; Gantt tab. Do not edit the numbers directly.</t>
  </si>
  <si>
    <t>Role</t>
  </si>
  <si>
    <t>Week 1 (min)</t>
  </si>
  <si>
    <t>Week 2 (min)</t>
  </si>
  <si>
    <t>Week 3 (min)</t>
  </si>
  <si>
    <t>Sprint Total (min)</t>
  </si>
  <si>
    <t>Sprint Total (hrs)</t>
  </si>
  <si>
    <t>PM</t>
  </si>
  <si>
    <t>Dev 2</t>
  </si>
  <si>
    <t>UX/Research</t>
  </si>
  <si>
    <t>Business/QA</t>
  </si>
  <si>
    <t>Green = meets the 240-minute weekly minimum. Red = under the minimum — rebalance tasks in the Task Plan &amp; Gantt tab.</t>
  </si>
  <si>
    <r>
      <t xml:space="preserve">Only the white cells in the Task Plan &amp; Gantt tab are for you to fill in (Task ID through Status). The Gantt bars and everything on the Weekly Workload Check tab are computed automatically — don't type into them. </t>
    </r>
    <r>
      <rPr>
        <b/>
        <sz val="11"/>
        <color rgb="FFFF0000"/>
        <rFont val="Arial"/>
        <family val="2"/>
      </rPr>
      <t>You can change the roles by maunally typing into Column C (owner) and then using the same valueein the Weekly Workload check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</si>
</sst>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6"/>
      <color rgb="FF1A1A1A"/>
      <name val="Arial"/>
      <charset val="1"/>
    </font>
    <font>
      <sz val="10"/>
      <color rgb="FF7F7F7F"/>
      <name val="Arial"/>
      <charset val="1"/>
    </font>
    <font>
      <b/>
      <sz val="12"/>
      <color rgb="FFE4002B"/>
      <name val="Arial"/>
      <charset val="1"/>
    </font>
    <font>
      <sz val="11"/>
      <color rgb="FF1A1A1A"/>
      <name val="Arial"/>
      <charset val="1"/>
    </font>
    <font>
      <b/>
      <sz val="14"/>
      <color rgb="FF1A1A1A"/>
      <name val="Arial"/>
      <charset val="1"/>
    </font>
    <font>
      <i/>
      <sz val="10"/>
      <color rgb="FFE4002B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7F7F7F"/>
      <name val="Arial"/>
      <charset val="1"/>
    </font>
    <font>
      <sz val="10"/>
      <color rgb="FF1A1A1A"/>
      <name val="Arial"/>
      <charset val="1"/>
    </font>
    <font>
      <b/>
      <sz val="13"/>
      <color rgb="FF1A1A1A"/>
      <name val="Arial"/>
      <charset val="1"/>
    </font>
    <font>
      <i/>
      <sz val="10"/>
      <color rgb="FF7F7F7F"/>
      <name val="Arial"/>
      <charset val="1"/>
    </font>
    <font>
      <b/>
      <sz val="10"/>
      <color rgb="FF1A1A1A"/>
      <name val="Arial"/>
      <charset val="1"/>
    </font>
    <font>
      <i/>
      <sz val="9"/>
      <color rgb="FF7F7F7F"/>
      <name val="Arial"/>
      <charset val="1"/>
    </font>
    <font>
      <b/>
      <sz val="11"/>
      <color rgb="FFFF0000"/>
      <name val="Arial"/>
      <family val="2"/>
    </font>
    <font>
      <sz val="11"/>
      <color rgb="FF1A1A1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6CC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DE2E2"/>
        <bgColor rgb="FFF5F5F5"/>
      </patternFill>
    </fill>
    <fill>
      <patternFill patternType="solid">
        <fgColor rgb="FF1A1A1A"/>
        <bgColor rgb="FF333300"/>
      </patternFill>
    </fill>
    <fill>
      <patternFill patternType="solid">
        <fgColor rgb="FFE4002B"/>
        <bgColor rgb="FF800000"/>
      </patternFill>
    </fill>
    <fill>
      <patternFill patternType="solid">
        <fgColor rgb="FF7F7F7F"/>
        <bgColor rgb="FF96969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4" fillId="0" borderId="0" xfId="0" applyFont="1" applyAlignment="1">
      <alignment vertical="top" wrapText="1"/>
    </xf>
    <xf numFmtId="0" fontId="12" fillId="0" borderId="0" xfId="0" applyFont="1"/>
    <xf numFmtId="0" fontId="11" fillId="0" borderId="0" xfId="0" applyFont="1"/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3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DE2E2"/>
        </patternFill>
      </fill>
    </dxf>
    <dxf>
      <fill>
        <patternFill>
          <bgColor rgb="FFC6EFCE"/>
        </patternFill>
      </fill>
    </dxf>
    <dxf>
      <fill>
        <patternFill>
          <bgColor rgb="FFE400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400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27"/>
  <sheetViews>
    <sheetView showGridLines="0" tabSelected="1" zoomScaleNormal="100" workbookViewId="0">
      <selection activeCell="B22" sqref="B22"/>
    </sheetView>
  </sheetViews>
  <sheetFormatPr defaultColWidth="8.7109375" defaultRowHeight="15" x14ac:dyDescent="0.25"/>
  <cols>
    <col min="1" max="1" width="3" customWidth="1"/>
    <col min="2" max="2" width="78" customWidth="1"/>
  </cols>
  <sheetData>
    <row r="2" spans="2:2" ht="20.25" x14ac:dyDescent="0.3">
      <c r="B2" s="9" t="s">
        <v>0</v>
      </c>
    </row>
    <row r="3" spans="2:2" x14ac:dyDescent="0.25">
      <c r="B3" s="10" t="s">
        <v>1</v>
      </c>
    </row>
    <row r="5" spans="2:2" ht="15.75" x14ac:dyDescent="0.25">
      <c r="B5" s="11" t="s">
        <v>2</v>
      </c>
    </row>
    <row r="6" spans="2:2" ht="71.25" x14ac:dyDescent="0.25">
      <c r="B6" s="12" t="s">
        <v>3</v>
      </c>
    </row>
    <row r="8" spans="2:2" ht="15.75" x14ac:dyDescent="0.25">
      <c r="B8" s="11" t="s">
        <v>4</v>
      </c>
    </row>
    <row r="9" spans="2:2" ht="85.5" x14ac:dyDescent="0.25">
      <c r="B9" s="12" t="s">
        <v>5</v>
      </c>
    </row>
    <row r="11" spans="2:2" ht="15.75" x14ac:dyDescent="0.25">
      <c r="B11" s="11" t="s">
        <v>6</v>
      </c>
    </row>
    <row r="12" spans="2:2" ht="28.5" x14ac:dyDescent="0.25">
      <c r="B12" s="12" t="s">
        <v>7</v>
      </c>
    </row>
    <row r="13" spans="2:2" ht="42.75" x14ac:dyDescent="0.25">
      <c r="B13" s="12" t="s">
        <v>8</v>
      </c>
    </row>
    <row r="14" spans="2:2" ht="28.5" x14ac:dyDescent="0.25">
      <c r="B14" s="12" t="s">
        <v>9</v>
      </c>
    </row>
    <row r="15" spans="2:2" x14ac:dyDescent="0.25">
      <c r="B15" s="12" t="s">
        <v>10</v>
      </c>
    </row>
    <row r="16" spans="2:2" ht="28.5" x14ac:dyDescent="0.25">
      <c r="B16" s="12" t="s">
        <v>11</v>
      </c>
    </row>
    <row r="18" spans="2:2" ht="15.75" x14ac:dyDescent="0.25">
      <c r="B18" s="11" t="s">
        <v>12</v>
      </c>
    </row>
    <row r="19" spans="2:2" ht="73.5" x14ac:dyDescent="0.25">
      <c r="B19" s="28" t="s">
        <v>54</v>
      </c>
    </row>
    <row r="21" spans="2:2" ht="15.75" x14ac:dyDescent="0.25">
      <c r="B21" s="11" t="s">
        <v>13</v>
      </c>
    </row>
    <row r="22" spans="2:2" ht="42.75" x14ac:dyDescent="0.25">
      <c r="B22" s="28" t="s">
        <v>14</v>
      </c>
    </row>
    <row r="24" spans="2:2" ht="15.75" x14ac:dyDescent="0.25">
      <c r="B24" s="11" t="s">
        <v>15</v>
      </c>
    </row>
    <row r="25" spans="2:2" ht="19.5" customHeight="1" x14ac:dyDescent="0.25">
      <c r="B25" s="13" t="s">
        <v>16</v>
      </c>
    </row>
    <row r="26" spans="2:2" ht="19.5" customHeight="1" x14ac:dyDescent="0.25">
      <c r="B26" s="14" t="s">
        <v>17</v>
      </c>
    </row>
    <row r="27" spans="2:2" ht="19.5" customHeight="1" x14ac:dyDescent="0.25">
      <c r="B27" s="15" t="s">
        <v>18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2"/>
  <sheetViews>
    <sheetView showGridLines="0" zoomScaleNormal="100" workbookViewId="0">
      <pane xSplit="8" ySplit="6" topLeftCell="I7" activePane="bottomRight" state="frozen"/>
      <selection pane="topRight" activeCell="J1" sqref="J1"/>
      <selection pane="bottomLeft" activeCell="A7" sqref="A7"/>
      <selection pane="bottomRight" activeCell="C7" sqref="C7"/>
    </sheetView>
  </sheetViews>
  <sheetFormatPr defaultColWidth="8.7109375" defaultRowHeight="15" x14ac:dyDescent="0.25"/>
  <cols>
    <col min="1" max="1" width="9" customWidth="1"/>
    <col min="2" max="2" width="26" customWidth="1"/>
    <col min="3" max="3" width="13" customWidth="1"/>
    <col min="4" max="4" width="11" customWidth="1"/>
    <col min="5" max="5" width="7" customWidth="1"/>
    <col min="6" max="6" width="9" customWidth="1"/>
    <col min="7" max="7" width="12" customWidth="1"/>
    <col min="8" max="8" width="13" customWidth="1"/>
    <col min="9" max="23" width="3.140625" customWidth="1"/>
  </cols>
  <sheetData>
    <row r="1" spans="1:23" ht="21.75" customHeight="1" x14ac:dyDescent="0.25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ht="15.75" customHeight="1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5" t="s">
        <v>29</v>
      </c>
      <c r="J4" s="5"/>
      <c r="K4" s="5"/>
      <c r="L4" s="5"/>
      <c r="M4" s="5"/>
      <c r="N4" s="4" t="s">
        <v>30</v>
      </c>
      <c r="O4" s="4"/>
      <c r="P4" s="4"/>
      <c r="Q4" s="4"/>
      <c r="R4" s="4"/>
      <c r="S4" s="5" t="s">
        <v>31</v>
      </c>
      <c r="T4" s="5"/>
      <c r="U4" s="5"/>
      <c r="V4" s="5"/>
      <c r="W4" s="5"/>
    </row>
    <row r="5" spans="1:23" ht="13.5" customHeight="1" x14ac:dyDescent="0.25">
      <c r="A5" s="6"/>
      <c r="B5" s="6"/>
      <c r="C5" s="6"/>
      <c r="D5" s="6"/>
      <c r="E5" s="6"/>
      <c r="F5" s="6"/>
      <c r="G5" s="6"/>
      <c r="H5" s="6"/>
      <c r="I5" s="17" t="s">
        <v>32</v>
      </c>
      <c r="J5" s="17" t="s">
        <v>33</v>
      </c>
      <c r="K5" s="17" t="s">
        <v>34</v>
      </c>
      <c r="L5" s="17" t="s">
        <v>35</v>
      </c>
      <c r="M5" s="17" t="s">
        <v>36</v>
      </c>
      <c r="N5" s="17" t="s">
        <v>32</v>
      </c>
      <c r="O5" s="17" t="s">
        <v>33</v>
      </c>
      <c r="P5" s="17" t="s">
        <v>34</v>
      </c>
      <c r="Q5" s="17" t="s">
        <v>35</v>
      </c>
      <c r="R5" s="17" t="s">
        <v>36</v>
      </c>
      <c r="S5" s="17" t="s">
        <v>32</v>
      </c>
      <c r="T5" s="17" t="s">
        <v>33</v>
      </c>
      <c r="U5" s="17" t="s">
        <v>34</v>
      </c>
      <c r="V5" s="17" t="s">
        <v>35</v>
      </c>
      <c r="W5" s="17" t="s">
        <v>36</v>
      </c>
    </row>
    <row r="6" spans="1:23" ht="12" customHeight="1" x14ac:dyDescent="0.25">
      <c r="A6" s="6"/>
      <c r="B6" s="6"/>
      <c r="C6" s="6"/>
      <c r="D6" s="6"/>
      <c r="E6" s="6"/>
      <c r="F6" s="6"/>
      <c r="G6" s="6"/>
      <c r="H6" s="6"/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</row>
    <row r="7" spans="1:23" ht="30" customHeight="1" x14ac:dyDescent="0.25">
      <c r="A7" s="19" t="s">
        <v>37</v>
      </c>
      <c r="B7" s="20" t="s">
        <v>38</v>
      </c>
      <c r="C7" s="21" t="s">
        <v>39</v>
      </c>
      <c r="D7" s="19">
        <v>90</v>
      </c>
      <c r="E7" s="19">
        <v>3</v>
      </c>
      <c r="F7" s="19">
        <v>3</v>
      </c>
      <c r="G7" s="19">
        <v>1</v>
      </c>
      <c r="H7" s="21" t="s">
        <v>40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5" customHeight="1" x14ac:dyDescent="0.25">
      <c r="A8" s="22"/>
      <c r="B8" s="22"/>
      <c r="C8" s="22"/>
      <c r="D8" s="23"/>
      <c r="E8" s="23"/>
      <c r="F8" s="23"/>
      <c r="G8" s="23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5" customHeight="1" x14ac:dyDescent="0.25">
      <c r="A9" s="22"/>
      <c r="B9" s="22"/>
      <c r="C9" s="22"/>
      <c r="D9" s="23"/>
      <c r="E9" s="23"/>
      <c r="F9" s="23"/>
      <c r="G9" s="2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5" customHeight="1" x14ac:dyDescent="0.25">
      <c r="A10" s="22"/>
      <c r="B10" s="22"/>
      <c r="C10" s="22"/>
      <c r="D10" s="23"/>
      <c r="E10" s="23"/>
      <c r="F10" s="23"/>
      <c r="G10" s="2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5" customHeight="1" x14ac:dyDescent="0.25">
      <c r="A11" s="22"/>
      <c r="B11" s="22"/>
      <c r="C11" s="22"/>
      <c r="D11" s="23"/>
      <c r="E11" s="23"/>
      <c r="F11" s="23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5" customHeight="1" x14ac:dyDescent="0.25">
      <c r="A12" s="22"/>
      <c r="B12" s="22"/>
      <c r="C12" s="22"/>
      <c r="D12" s="23"/>
      <c r="E12" s="23"/>
      <c r="F12" s="23"/>
      <c r="G12" s="23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5" customHeight="1" x14ac:dyDescent="0.25">
      <c r="A13" s="22"/>
      <c r="B13" s="22"/>
      <c r="C13" s="22"/>
      <c r="D13" s="23"/>
      <c r="E13" s="23"/>
      <c r="F13" s="23"/>
      <c r="G13" s="23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5" customHeight="1" x14ac:dyDescent="0.25">
      <c r="A14" s="22"/>
      <c r="B14" s="22"/>
      <c r="C14" s="22"/>
      <c r="D14" s="23"/>
      <c r="E14" s="23"/>
      <c r="F14" s="23"/>
      <c r="G14" s="23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5" customHeight="1" x14ac:dyDescent="0.25">
      <c r="A15" s="22"/>
      <c r="B15" s="22"/>
      <c r="C15" s="22"/>
      <c r="D15" s="23"/>
      <c r="E15" s="23"/>
      <c r="F15" s="23"/>
      <c r="G15" s="23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customHeight="1" x14ac:dyDescent="0.25">
      <c r="A16" s="22"/>
      <c r="B16" s="22"/>
      <c r="C16" s="22"/>
      <c r="D16" s="23"/>
      <c r="E16" s="23"/>
      <c r="F16" s="23"/>
      <c r="G16" s="23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5" customHeight="1" x14ac:dyDescent="0.25">
      <c r="A17" s="22"/>
      <c r="B17" s="22"/>
      <c r="C17" s="22"/>
      <c r="D17" s="23"/>
      <c r="E17" s="23"/>
      <c r="F17" s="23"/>
      <c r="G17" s="23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5" customHeight="1" x14ac:dyDescent="0.25">
      <c r="A18" s="22"/>
      <c r="B18" s="22"/>
      <c r="C18" s="22"/>
      <c r="D18" s="23"/>
      <c r="E18" s="23"/>
      <c r="F18" s="23"/>
      <c r="G18" s="23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15" customHeight="1" x14ac:dyDescent="0.25">
      <c r="A19" s="22"/>
      <c r="B19" s="22"/>
      <c r="C19" s="22"/>
      <c r="D19" s="23"/>
      <c r="E19" s="23"/>
      <c r="F19" s="23"/>
      <c r="G19" s="23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15" customHeight="1" x14ac:dyDescent="0.25">
      <c r="A20" s="22"/>
      <c r="B20" s="22"/>
      <c r="C20" s="22"/>
      <c r="D20" s="23"/>
      <c r="E20" s="23"/>
      <c r="F20" s="23"/>
      <c r="G20" s="23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5" customHeight="1" x14ac:dyDescent="0.25">
      <c r="A21" s="22"/>
      <c r="B21" s="22"/>
      <c r="C21" s="22"/>
      <c r="D21" s="23"/>
      <c r="E21" s="23"/>
      <c r="F21" s="23"/>
      <c r="G21" s="23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15" customHeight="1" x14ac:dyDescent="0.25">
      <c r="A22" s="22"/>
      <c r="B22" s="22"/>
      <c r="C22" s="22"/>
      <c r="D22" s="23"/>
      <c r="E22" s="23"/>
      <c r="F22" s="23"/>
      <c r="G22" s="23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</sheetData>
  <mergeCells count="13">
    <mergeCell ref="A1:W1"/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M4"/>
    <mergeCell ref="N4:R4"/>
    <mergeCell ref="S4:W4"/>
  </mergeCells>
  <conditionalFormatting sqref="I7:W22">
    <cfRule type="expression" dxfId="2" priority="2">
      <formula>AND(I$6&gt;=($E7-1)*5+$F7,I$6&lt;=($E7-1)*5+$F7+$G7-1)</formula>
    </cfRule>
  </conditionalFormatting>
  <dataValidations count="1">
    <dataValidation type="list" allowBlank="1" sqref="C7:C22" xr:uid="{00000000-0002-0000-0100-000000000000}">
      <formula1>"PM,Dev 1,Dev 2,UX/Research,Business/QA"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zoomScaleNormal="100" workbookViewId="0">
      <selection activeCell="A5" sqref="A5"/>
    </sheetView>
  </sheetViews>
  <sheetFormatPr defaultColWidth="8.7109375" defaultRowHeight="15" x14ac:dyDescent="0.25"/>
  <cols>
    <col min="1" max="1" width="16" customWidth="1"/>
    <col min="2" max="4" width="13" customWidth="1"/>
    <col min="5" max="6" width="15" customWidth="1"/>
  </cols>
  <sheetData>
    <row r="1" spans="1:6" ht="19.5" customHeight="1" x14ac:dyDescent="0.25">
      <c r="A1" s="3" t="s">
        <v>41</v>
      </c>
      <c r="B1" s="3"/>
      <c r="C1" s="3"/>
      <c r="D1" s="3"/>
      <c r="E1" s="3"/>
      <c r="F1" s="3"/>
    </row>
    <row r="2" spans="1:6" x14ac:dyDescent="0.25">
      <c r="A2" s="2" t="s">
        <v>42</v>
      </c>
      <c r="B2" s="2"/>
      <c r="C2" s="2"/>
      <c r="D2" s="2"/>
      <c r="E2" s="2"/>
      <c r="F2" s="2"/>
    </row>
    <row r="4" spans="1:6" ht="25.5" customHeight="1" x14ac:dyDescent="0.25">
      <c r="A4" s="16" t="s">
        <v>43</v>
      </c>
      <c r="B4" s="16" t="s">
        <v>44</v>
      </c>
      <c r="C4" s="16" t="s">
        <v>45</v>
      </c>
      <c r="D4" s="16" t="s">
        <v>46</v>
      </c>
      <c r="E4" s="16" t="s">
        <v>47</v>
      </c>
      <c r="F4" s="16" t="s">
        <v>48</v>
      </c>
    </row>
    <row r="5" spans="1:6" x14ac:dyDescent="0.25">
      <c r="A5" s="24" t="s">
        <v>49</v>
      </c>
      <c r="B5" s="25">
        <f>SUMIFS('Task Plan &amp; Gantt'!$D$7:$D$22,'Task Plan &amp; Gantt'!$C$7:$C$22,$A5,'Task Plan &amp; Gantt'!$E$7:$E$22,1)</f>
        <v>0</v>
      </c>
      <c r="C5" s="25">
        <f>SUMIFS('Task Plan &amp; Gantt'!$D$7:$D$22,'Task Plan &amp; Gantt'!$C$7:$C$22,$A5,'Task Plan &amp; Gantt'!$E$7:$E$22,2)</f>
        <v>0</v>
      </c>
      <c r="D5" s="25">
        <f>SUMIFS('Task Plan &amp; Gantt'!$D$7:$D$22,'Task Plan &amp; Gantt'!$C$7:$C$22,$A5,'Task Plan &amp; Gantt'!$E$7:$E$22,3)</f>
        <v>0</v>
      </c>
      <c r="E5" s="26">
        <f>SUM(B5:D5)</f>
        <v>0</v>
      </c>
      <c r="F5" s="27">
        <f>E5/60</f>
        <v>0</v>
      </c>
    </row>
    <row r="6" spans="1:6" x14ac:dyDescent="0.25">
      <c r="A6" s="24" t="s">
        <v>39</v>
      </c>
      <c r="B6" s="25">
        <f>SUMIFS('Task Plan &amp; Gantt'!$D$7:$D$22,'Task Plan &amp; Gantt'!$C$7:$C$22,$A6,'Task Plan &amp; Gantt'!$E$7:$E$22,1)</f>
        <v>0</v>
      </c>
      <c r="C6" s="25">
        <f>SUMIFS('Task Plan &amp; Gantt'!$D$7:$D$22,'Task Plan &amp; Gantt'!$C$7:$C$22,$A6,'Task Plan &amp; Gantt'!$E$7:$E$22,2)</f>
        <v>0</v>
      </c>
      <c r="D6" s="25">
        <f>SUMIFS('Task Plan &amp; Gantt'!$D$7:$D$22,'Task Plan &amp; Gantt'!$C$7:$C$22,$A6,'Task Plan &amp; Gantt'!$E$7:$E$22,3)</f>
        <v>90</v>
      </c>
      <c r="E6" s="26">
        <f>SUM(B6:D6)</f>
        <v>90</v>
      </c>
      <c r="F6" s="27">
        <f>E6/60</f>
        <v>1.5</v>
      </c>
    </row>
    <row r="7" spans="1:6" x14ac:dyDescent="0.25">
      <c r="A7" s="24" t="s">
        <v>50</v>
      </c>
      <c r="B7" s="25">
        <f>SUMIFS('Task Plan &amp; Gantt'!$D$7:$D$22,'Task Plan &amp; Gantt'!$C$7:$C$22,$A7,'Task Plan &amp; Gantt'!$E$7:$E$22,1)</f>
        <v>0</v>
      </c>
      <c r="C7" s="25">
        <f>SUMIFS('Task Plan &amp; Gantt'!$D$7:$D$22,'Task Plan &amp; Gantt'!$C$7:$C$22,$A7,'Task Plan &amp; Gantt'!$E$7:$E$22,2)</f>
        <v>0</v>
      </c>
      <c r="D7" s="25">
        <f>SUMIFS('Task Plan &amp; Gantt'!$D$7:$D$22,'Task Plan &amp; Gantt'!$C$7:$C$22,$A7,'Task Plan &amp; Gantt'!$E$7:$E$22,3)</f>
        <v>0</v>
      </c>
      <c r="E7" s="26">
        <f>SUM(B7:D7)</f>
        <v>0</v>
      </c>
      <c r="F7" s="27">
        <f>E7/60</f>
        <v>0</v>
      </c>
    </row>
    <row r="8" spans="1:6" x14ac:dyDescent="0.25">
      <c r="A8" s="24" t="s">
        <v>51</v>
      </c>
      <c r="B8" s="25">
        <f>SUMIFS('Task Plan &amp; Gantt'!$D$7:$D$22,'Task Plan &amp; Gantt'!$C$7:$C$22,$A8,'Task Plan &amp; Gantt'!$E$7:$E$22,1)</f>
        <v>0</v>
      </c>
      <c r="C8" s="25">
        <f>SUMIFS('Task Plan &amp; Gantt'!$D$7:$D$22,'Task Plan &amp; Gantt'!$C$7:$C$22,$A8,'Task Plan &amp; Gantt'!$E$7:$E$22,2)</f>
        <v>0</v>
      </c>
      <c r="D8" s="25">
        <f>SUMIFS('Task Plan &amp; Gantt'!$D$7:$D$22,'Task Plan &amp; Gantt'!$C$7:$C$22,$A8,'Task Plan &amp; Gantt'!$E$7:$E$22,3)</f>
        <v>0</v>
      </c>
      <c r="E8" s="26">
        <f>SUM(B8:D8)</f>
        <v>0</v>
      </c>
      <c r="F8" s="27">
        <f>E8/60</f>
        <v>0</v>
      </c>
    </row>
    <row r="9" spans="1:6" x14ac:dyDescent="0.25">
      <c r="A9" s="24" t="s">
        <v>52</v>
      </c>
      <c r="B9" s="25">
        <f>SUMIFS('Task Plan &amp; Gantt'!$D$7:$D$22,'Task Plan &amp; Gantt'!$C$7:$C$22,$A9,'Task Plan &amp; Gantt'!$E$7:$E$22,1)</f>
        <v>0</v>
      </c>
      <c r="C9" s="25">
        <f>SUMIFS('Task Plan &amp; Gantt'!$D$7:$D$22,'Task Plan &amp; Gantt'!$C$7:$C$22,$A9,'Task Plan &amp; Gantt'!$E$7:$E$22,2)</f>
        <v>0</v>
      </c>
      <c r="D9" s="25">
        <f>SUMIFS('Task Plan &amp; Gantt'!$D$7:$D$22,'Task Plan &amp; Gantt'!$C$7:$C$22,$A9,'Task Plan &amp; Gantt'!$E$7:$E$22,3)</f>
        <v>0</v>
      </c>
      <c r="E9" s="26">
        <f>SUM(B9:D9)</f>
        <v>0</v>
      </c>
      <c r="F9" s="27">
        <f>E9/60</f>
        <v>0</v>
      </c>
    </row>
    <row r="11" spans="1:6" ht="27.75" customHeight="1" x14ac:dyDescent="0.25">
      <c r="A11" s="1" t="s">
        <v>53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conditionalFormatting sqref="B5:D9">
    <cfRule type="expression" dxfId="1" priority="2">
      <formula>B5&gt;=240</formula>
    </cfRule>
    <cfRule type="expression" dxfId="0" priority="3">
      <formula>B5&lt;240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Task Plan &amp; Gantt</vt:lpstr>
      <vt:lpstr>Weekly Workload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Alessio Bonti</cp:lastModifiedBy>
  <cp:revision>0</cp:revision>
  <dcterms:created xsi:type="dcterms:W3CDTF">2026-09-01T08:03:46Z</dcterms:created>
  <dcterms:modified xsi:type="dcterms:W3CDTF">2026-09-01T08:28:52Z</dcterms:modified>
  <dc:language>en-US</dc:language>
</cp:coreProperties>
</file>