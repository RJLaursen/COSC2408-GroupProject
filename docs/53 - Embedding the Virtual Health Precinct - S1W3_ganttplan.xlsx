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rmiteduau-my.sharepoint.com/personal/alessio_bonti_rmit_edu_au/Documents/Teaching/Capstone/Assignment 1/"/>
    </mc:Choice>
  </mc:AlternateContent>
  <xr:revisionPtr revIDLastSave="0" documentId="8_{CFD9C8DC-C1D6-4F02-91A6-2A49B7818B4F}" xr6:coauthVersionLast="47" xr6:coauthVersionMax="47" xr10:uidLastSave="{00000000-0000-0000-0000-000000000000}"/>
  <bookViews>
    <workbookView xWindow="-120" yWindow="-120" windowWidth="38640" windowHeight="21120" tabRatio="500" firstSheet="1" activeTab="1" xr2:uid="{00000000-000D-0000-FFFF-FFFF00000000}"/>
  </bookViews>
  <sheets>
    <sheet name="Instructions" sheetId="1" r:id="rId1"/>
    <sheet name="Task Plan &amp; Gantt" sheetId="2" r:id="rId2"/>
    <sheet name="Weekly Workload Check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D9" i="3"/>
  <c r="C9" i="3"/>
  <c r="B9" i="3"/>
  <c r="D8" i="3"/>
  <c r="C8" i="3"/>
  <c r="B8" i="3"/>
  <c r="E8" i="3" s="1"/>
  <c r="F8" i="3" s="1"/>
  <c r="D7" i="3"/>
  <c r="C7" i="3"/>
  <c r="B7" i="3"/>
  <c r="D6" i="3"/>
  <c r="C6" i="3"/>
  <c r="B6" i="3"/>
  <c r="D5" i="3"/>
  <c r="C5" i="3"/>
  <c r="E6" i="3" l="1"/>
  <c r="F6" i="3" s="1"/>
  <c r="E9" i="3"/>
  <c r="F9" i="3" s="1"/>
  <c r="E5" i="3"/>
  <c r="F5" i="3" s="1"/>
  <c r="E7" i="3"/>
  <c r="F7" i="3" s="1"/>
</calcChain>
</file>

<file path=xl/sharedStrings.xml><?xml version="1.0" encoding="utf-8"?>
<sst xmlns="http://schemas.openxmlformats.org/spreadsheetml/2006/main" count="122" uniqueCount="82">
  <si>
    <t>Sprint Planning — Instructions &amp; Legend</t>
  </si>
  <si>
    <t>COSC2408 Programming Project 1</t>
  </si>
  <si>
    <t>What this workbook is for</t>
  </si>
  <si>
    <t>This is the detailed HOW for next sprint — the task-by-task breakdown, owner, timing and sequencing. It is a separate deliverable from your Sprint Playback slide 7 ("What's Next"), which only states WHAT you're promising. This workbook is where that promise gets broken down into real, assigned, time-estimated tasks.</t>
  </si>
  <si>
    <t>The 240-minute rule</t>
  </si>
  <si>
    <t>Every team member must be assigned at least 240 minutes (4 hours) of tasks per week, for every week of the upcoming sprint. Estimate time at a junior-practitioner level — the same standard used for your weekly task board (e.g. a straightforward API endpoint with tests is ~30 minutes, regardless of how long it actually takes you in practice). The Weekly Workload Check tab totals this automatically and flags anyone under the minimum.</t>
  </si>
  <si>
    <t>How to use the Task Plan &amp; Gantt tab</t>
  </si>
  <si>
    <t>1.  Delete the yellow example row once you understand the format — it is not a real task.</t>
  </si>
  <si>
    <t>2.  Add one row per task: name it, assign an Owner, estimate the minutes, set the Week (1–3), the Start Day WITHIN that week (1 = Monday, 5 = Friday) and the Duration in days.</t>
  </si>
  <si>
    <t>3.  The Gantt bar on the right fills in automatically based on Start Day and Duration — you don't edit it directly.</t>
  </si>
  <si>
    <t>4.  Use Dependencies to note if a task can't start until another Task ID is done.</t>
  </si>
  <si>
    <t>5.  Update Status as the sprint progresses — this tab doubles as your working plan, not just a one-off submission.</t>
  </si>
  <si>
    <t>Editable vs computed</t>
  </si>
  <si>
    <r>
      <t xml:space="preserve">Only the white cells in the Task Plan &amp; Gantt tab are for you to fill in (Task ID through Status). The Gantt bars and everything on the Weekly Workload Check tab are computed automatically — don't type into them. </t>
    </r>
    <r>
      <rPr>
        <b/>
        <sz val="11"/>
        <color rgb="FFFF0000"/>
        <rFont val="Arial"/>
        <family val="2"/>
      </rPr>
      <t>You can change the roles by maunally typing into Column C (owner) and then using the same valueein the Weekly Workload check</t>
    </r>
  </si>
  <si>
    <t>Submission</t>
  </si>
  <si>
    <t>Rename this file  x - team name - S1W7_ganttplan  (e.g. 90 - Food Delivery System - S1W7_ganttplan) and submit alongside your other Week 7 files. It plans the upcoming sprint, so it's due the same week as your Playback.</t>
  </si>
  <si>
    <t>Colour key</t>
  </si>
  <si>
    <t xml:space="preserve">   Example row — delete before submitting</t>
  </si>
  <si>
    <t xml:space="preserve">   Weekly Workload Check: meets the 240-minute minimum</t>
  </si>
  <si>
    <t xml:space="preserve">   Weekly Workload Check: under the 240-minute minimum</t>
  </si>
  <si>
    <t>Team 53A — Next-Sprint Task Plan &amp; Gantt | Sprint 2 (Weeks 1–3)</t>
  </si>
  <si>
    <t>Every member needs ≥240 min/week. See the Instructions tab before editing.</t>
  </si>
  <si>
    <t>Task ID</t>
  </si>
  <si>
    <t>Task Name</t>
  </si>
  <si>
    <t>Owner</t>
  </si>
  <si>
    <t>Est. Minutes</t>
  </si>
  <si>
    <t>Week</t>
  </si>
  <si>
    <t>Start Day
(1=Mon–5=Fri)</t>
  </si>
  <si>
    <t>Duration (days)</t>
  </si>
  <si>
    <t>Dependencies</t>
  </si>
  <si>
    <t>Week 1</t>
  </si>
  <si>
    <t>Week 2</t>
  </si>
  <si>
    <t>Week 3</t>
  </si>
  <si>
    <t>Mon</t>
  </si>
  <si>
    <t>Tue</t>
  </si>
  <si>
    <t>Wed</t>
  </si>
  <si>
    <t>Thu</t>
  </si>
  <si>
    <t>Fri</t>
  </si>
  <si>
    <t>T1</t>
  </si>
  <si>
    <t>Coordinate Sprint 2 Planning and Team Priorities</t>
  </si>
  <si>
    <t>PM</t>
  </si>
  <si>
    <t>-</t>
  </si>
  <si>
    <t>T2</t>
  </si>
  <si>
    <t>Develop and Refine Clinical Simulation User Interface Design</t>
  </si>
  <si>
    <t>UX/Research</t>
  </si>
  <si>
    <t>T3</t>
  </si>
  <si>
    <t>Refine Functional Requirements and AI Dialogue Acceptance Criteria</t>
  </si>
  <si>
    <t>Business/QA</t>
  </si>
  <si>
    <t>T4</t>
  </si>
  <si>
    <t>Establish Next.js and React Application Foundation</t>
  </si>
  <si>
    <t>Dev 1</t>
  </si>
  <si>
    <t>T5</t>
  </si>
  <si>
    <t>Support Next.js and React Application Setup and Technical Validation</t>
  </si>
  <si>
    <t>T6</t>
  </si>
  <si>
    <t>Monitor Sprint Progress and Coordinate Team Deliverables</t>
  </si>
  <si>
    <t>T7</t>
  </si>
  <si>
    <t>Implement and Validate Simulation Interaction Design</t>
  </si>
  <si>
    <t>T8</t>
  </si>
  <si>
    <t>Define and Validate AI Conversation Flow and Scenario Branching</t>
  </si>
  <si>
    <t>T9</t>
  </si>
  <si>
    <t>T10</t>
  </si>
  <si>
    <t>Support Core Interface Development and AI Integration Testing</t>
  </si>
  <si>
    <t>T11</t>
  </si>
  <si>
    <t>Review Sprint Outcomes and Prepare Team Playback Evidence</t>
  </si>
  <si>
    <t>T12</t>
  </si>
  <si>
    <t>Test and Refine User Experience for the Clinical Simulation</t>
  </si>
  <si>
    <t>T13</t>
  </si>
  <si>
    <t>Validate Requirements, Acceptance Criteria and Educational Outcomes</t>
  </si>
  <si>
    <t>T14</t>
  </si>
  <si>
    <t>Integrate and Test Core Clinical Simulation Functionality</t>
  </si>
  <si>
    <t>T15</t>
  </si>
  <si>
    <t>Support Integration Testing and Resolve Technical Issues</t>
  </si>
  <si>
    <t>Weekly Workload Check — 240 min (4 hrs) minimum per person, per week</t>
  </si>
  <si>
    <t>Computed automatically from the Task Plan &amp; Gantt tab. Do not edit the numbers directly.</t>
  </si>
  <si>
    <t>Role</t>
  </si>
  <si>
    <t>Week 1 (min)</t>
  </si>
  <si>
    <t>Week 2 (min)</t>
  </si>
  <si>
    <t>Week 3 (min)</t>
  </si>
  <si>
    <t>Sprint Total (min)</t>
  </si>
  <si>
    <t>Sprint Total (hrs)</t>
  </si>
  <si>
    <t>Dev 2</t>
  </si>
  <si>
    <t>Green = meets the 240-minute weekly minimum. Red = under the minimum — rebalance tasks in the Task Plan &amp; Gantt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</si>
</sst>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charset val="1"/>
    </font>
    <font>
      <b/>
      <sz val="16"/>
      <color rgb="FF1A1A1A"/>
      <name val="Arial"/>
      <charset val="1"/>
    </font>
    <font>
      <sz val="10"/>
      <color rgb="FF7F7F7F"/>
      <name val="Arial"/>
      <charset val="1"/>
    </font>
    <font>
      <b/>
      <sz val="12"/>
      <color rgb="FFE4002B"/>
      <name val="Arial"/>
      <charset val="1"/>
    </font>
    <font>
      <sz val="11"/>
      <color rgb="FF1A1A1A"/>
      <name val="Arial"/>
      <charset val="1"/>
    </font>
    <font>
      <b/>
      <sz val="14"/>
      <color rgb="FF1A1A1A"/>
      <name val="Arial"/>
      <charset val="1"/>
    </font>
    <font>
      <i/>
      <sz val="10"/>
      <color rgb="FFE4002B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7F7F7F"/>
      <name val="Arial"/>
      <charset val="1"/>
    </font>
    <font>
      <sz val="10"/>
      <color rgb="FF1A1A1A"/>
      <name val="Arial"/>
      <charset val="1"/>
    </font>
    <font>
      <b/>
      <sz val="13"/>
      <color rgb="FF1A1A1A"/>
      <name val="Arial"/>
      <charset val="1"/>
    </font>
    <font>
      <i/>
      <sz val="10"/>
      <color rgb="FF7F7F7F"/>
      <name val="Arial"/>
      <charset val="1"/>
    </font>
    <font>
      <b/>
      <sz val="10"/>
      <color rgb="FF1A1A1A"/>
      <name val="Arial"/>
      <charset val="1"/>
    </font>
    <font>
      <i/>
      <sz val="9"/>
      <color rgb="FF7F7F7F"/>
      <name val="Arial"/>
      <charset val="1"/>
    </font>
    <font>
      <b/>
      <sz val="11"/>
      <color rgb="FFFF0000"/>
      <name val="Arial"/>
      <family val="2"/>
    </font>
    <font>
      <sz val="11"/>
      <color rgb="FF1A1A1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6CC"/>
        <bgColor rgb="FFF5F5F5"/>
      </patternFill>
    </fill>
    <fill>
      <patternFill patternType="solid">
        <fgColor rgb="FFC6EFCE"/>
        <bgColor rgb="FFD9D9D9"/>
      </patternFill>
    </fill>
    <fill>
      <patternFill patternType="solid">
        <fgColor rgb="FFFDE2E2"/>
        <bgColor rgb="FFF5F5F5"/>
      </patternFill>
    </fill>
    <fill>
      <patternFill patternType="solid">
        <fgColor rgb="FF1A1A1A"/>
        <bgColor rgb="FF333300"/>
      </patternFill>
    </fill>
    <fill>
      <patternFill patternType="solid">
        <fgColor rgb="FFE4002B"/>
        <bgColor rgb="FF800000"/>
      </patternFill>
    </fill>
    <fill>
      <patternFill patternType="solid">
        <fgColor rgb="FF7F7F7F"/>
        <bgColor rgb="FF96969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3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6" fillId="0" borderId="0" xfId="0" applyFont="1" applyAlignment="1">
      <alignment vertical="top" wrapText="1"/>
    </xf>
    <xf numFmtId="0" fontId="0" fillId="9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4" fillId="0" borderId="0" xfId="0" applyFont="1" applyAlignment="1">
      <alignment vertical="top" wrapText="1"/>
    </xf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3">
    <dxf>
      <fill>
        <patternFill>
          <bgColor rgb="FFFDE2E2"/>
        </patternFill>
      </fill>
    </dxf>
    <dxf>
      <fill>
        <patternFill>
          <bgColor rgb="FFC6EFCE"/>
        </patternFill>
      </fill>
    </dxf>
    <dxf>
      <fill>
        <patternFill>
          <bgColor rgb="FFE400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400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6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27"/>
  <sheetViews>
    <sheetView showGridLines="0" zoomScaleNormal="100" workbookViewId="0">
      <selection activeCell="B22" sqref="B22"/>
    </sheetView>
  </sheetViews>
  <sheetFormatPr defaultColWidth="8.7109375" defaultRowHeight="15"/>
  <cols>
    <col min="1" max="1" width="3" customWidth="1"/>
    <col min="2" max="2" width="78" customWidth="1"/>
  </cols>
  <sheetData>
    <row r="2" spans="2:2" ht="20.25">
      <c r="B2" s="2" t="s">
        <v>0</v>
      </c>
    </row>
    <row r="3" spans="2:2">
      <c r="B3" s="3" t="s">
        <v>1</v>
      </c>
    </row>
    <row r="5" spans="2:2" ht="15.75">
      <c r="B5" s="4" t="s">
        <v>2</v>
      </c>
    </row>
    <row r="6" spans="2:2" ht="71.25">
      <c r="B6" s="5" t="s">
        <v>3</v>
      </c>
    </row>
    <row r="8" spans="2:2" ht="15.75">
      <c r="B8" s="4" t="s">
        <v>4</v>
      </c>
    </row>
    <row r="9" spans="2:2" ht="85.5">
      <c r="B9" s="5" t="s">
        <v>5</v>
      </c>
    </row>
    <row r="11" spans="2:2" ht="15.75">
      <c r="B11" s="4" t="s">
        <v>6</v>
      </c>
    </row>
    <row r="12" spans="2:2" ht="28.5">
      <c r="B12" s="5" t="s">
        <v>7</v>
      </c>
    </row>
    <row r="13" spans="2:2" ht="42.75">
      <c r="B13" s="5" t="s">
        <v>8</v>
      </c>
    </row>
    <row r="14" spans="2:2" ht="28.5">
      <c r="B14" s="5" t="s">
        <v>9</v>
      </c>
    </row>
    <row r="15" spans="2:2">
      <c r="B15" s="5" t="s">
        <v>10</v>
      </c>
    </row>
    <row r="16" spans="2:2" ht="28.5">
      <c r="B16" s="5" t="s">
        <v>11</v>
      </c>
    </row>
    <row r="18" spans="2:2" ht="15.75">
      <c r="B18" s="4" t="s">
        <v>12</v>
      </c>
    </row>
    <row r="19" spans="2:2" ht="73.5">
      <c r="B19" s="20" t="s">
        <v>13</v>
      </c>
    </row>
    <row r="21" spans="2:2" ht="15.75">
      <c r="B21" s="4" t="s">
        <v>14</v>
      </c>
    </row>
    <row r="22" spans="2:2" ht="42.75">
      <c r="B22" s="20" t="s">
        <v>15</v>
      </c>
    </row>
    <row r="24" spans="2:2" ht="15.75">
      <c r="B24" s="4" t="s">
        <v>16</v>
      </c>
    </row>
    <row r="25" spans="2:2" ht="19.5" customHeight="1">
      <c r="B25" s="6" t="s">
        <v>17</v>
      </c>
    </row>
    <row r="26" spans="2:2" ht="19.5" customHeight="1">
      <c r="B26" s="7" t="s">
        <v>18</v>
      </c>
    </row>
    <row r="27" spans="2:2" ht="19.5" customHeight="1">
      <c r="B27" s="8" t="s">
        <v>19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2"/>
  <sheetViews>
    <sheetView showGridLines="0" tabSelected="1" zoomScaleNormal="100" workbookViewId="0">
      <pane xSplit="8" ySplit="6" topLeftCell="I16" activePane="bottomRight" state="frozen"/>
      <selection pane="bottomRight" activeCell="H21" sqref="H21"/>
      <selection pane="bottomLeft" activeCell="A7" sqref="A7"/>
      <selection pane="topRight" activeCell="J1" sqref="J1"/>
    </sheetView>
  </sheetViews>
  <sheetFormatPr defaultColWidth="8.7109375" defaultRowHeight="27.75" customHeight="1"/>
  <cols>
    <col min="1" max="1" width="9" customWidth="1"/>
    <col min="2" max="2" width="38.85546875" customWidth="1"/>
    <col min="3" max="3" width="13" customWidth="1"/>
    <col min="4" max="4" width="11" customWidth="1"/>
    <col min="5" max="5" width="7" customWidth="1"/>
    <col min="6" max="6" width="9" customWidth="1"/>
    <col min="7" max="7" width="12" customWidth="1"/>
    <col min="8" max="8" width="13" customWidth="1"/>
    <col min="9" max="23" width="3.140625" customWidth="1"/>
  </cols>
  <sheetData>
    <row r="1" spans="1:23" ht="19.5" customHeight="1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9.5" customHeight="1">
      <c r="A2" s="28" t="s">
        <v>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ht="19.5" customHeight="1"/>
    <row r="4" spans="1:23" ht="19.5" customHeight="1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3" t="s">
        <v>27</v>
      </c>
      <c r="G4" s="23" t="s">
        <v>28</v>
      </c>
      <c r="H4" s="23" t="s">
        <v>29</v>
      </c>
      <c r="I4" s="24" t="s">
        <v>30</v>
      </c>
      <c r="J4" s="24"/>
      <c r="K4" s="24"/>
      <c r="L4" s="24"/>
      <c r="M4" s="24"/>
      <c r="N4" s="25" t="s">
        <v>31</v>
      </c>
      <c r="O4" s="25"/>
      <c r="P4" s="25"/>
      <c r="Q4" s="25"/>
      <c r="R4" s="25"/>
      <c r="S4" s="24" t="s">
        <v>32</v>
      </c>
      <c r="T4" s="24"/>
      <c r="U4" s="24"/>
      <c r="V4" s="24"/>
      <c r="W4" s="24"/>
    </row>
    <row r="5" spans="1:23" ht="19.5" customHeight="1">
      <c r="A5" s="23"/>
      <c r="B5" s="23"/>
      <c r="C5" s="23"/>
      <c r="D5" s="23"/>
      <c r="E5" s="23"/>
      <c r="F5" s="23"/>
      <c r="G5" s="23"/>
      <c r="H5" s="23"/>
      <c r="I5" s="9" t="s">
        <v>33</v>
      </c>
      <c r="J5" s="9" t="s">
        <v>34</v>
      </c>
      <c r="K5" s="9" t="s">
        <v>35</v>
      </c>
      <c r="L5" s="9" t="s">
        <v>36</v>
      </c>
      <c r="M5" s="9" t="s">
        <v>37</v>
      </c>
      <c r="N5" s="9" t="s">
        <v>33</v>
      </c>
      <c r="O5" s="9" t="s">
        <v>34</v>
      </c>
      <c r="P5" s="9" t="s">
        <v>35</v>
      </c>
      <c r="Q5" s="9" t="s">
        <v>36</v>
      </c>
      <c r="R5" s="9" t="s">
        <v>37</v>
      </c>
      <c r="S5" s="9" t="s">
        <v>33</v>
      </c>
      <c r="T5" s="9" t="s">
        <v>34</v>
      </c>
      <c r="U5" s="9" t="s">
        <v>35</v>
      </c>
      <c r="V5" s="9" t="s">
        <v>36</v>
      </c>
      <c r="W5" s="9" t="s">
        <v>37</v>
      </c>
    </row>
    <row r="6" spans="1:23" ht="19.5" customHeight="1">
      <c r="A6" s="23"/>
      <c r="B6" s="23"/>
      <c r="C6" s="23"/>
      <c r="D6" s="23"/>
      <c r="E6" s="23"/>
      <c r="F6" s="23"/>
      <c r="G6" s="23"/>
      <c r="H6" s="23"/>
      <c r="I6" s="10">
        <v>1</v>
      </c>
      <c r="J6" s="10">
        <v>2</v>
      </c>
      <c r="K6" s="10">
        <v>3</v>
      </c>
      <c r="L6" s="10">
        <v>4</v>
      </c>
      <c r="M6" s="10">
        <v>5</v>
      </c>
      <c r="N6" s="10">
        <v>6</v>
      </c>
      <c r="O6" s="10">
        <v>7</v>
      </c>
      <c r="P6" s="10">
        <v>8</v>
      </c>
      <c r="Q6" s="10">
        <v>9</v>
      </c>
      <c r="R6" s="10">
        <v>10</v>
      </c>
      <c r="S6" s="10">
        <v>11</v>
      </c>
      <c r="T6" s="10">
        <v>12</v>
      </c>
      <c r="U6" s="10">
        <v>13</v>
      </c>
      <c r="V6" s="10">
        <v>14</v>
      </c>
      <c r="W6" s="10">
        <v>15</v>
      </c>
    </row>
    <row r="7" spans="1:23" ht="27.75" customHeight="1">
      <c r="A7" s="11" t="s">
        <v>38</v>
      </c>
      <c r="B7" s="12" t="s">
        <v>39</v>
      </c>
      <c r="C7" s="13" t="s">
        <v>40</v>
      </c>
      <c r="D7" s="11">
        <v>300</v>
      </c>
      <c r="E7" s="11">
        <v>1</v>
      </c>
      <c r="F7" s="11">
        <v>1</v>
      </c>
      <c r="G7" s="11">
        <v>5</v>
      </c>
      <c r="H7" s="13" t="s">
        <v>41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ht="27.75" customHeight="1">
      <c r="A8" s="15" t="s">
        <v>42</v>
      </c>
      <c r="B8" s="21" t="s">
        <v>43</v>
      </c>
      <c r="C8" s="14" t="s">
        <v>44</v>
      </c>
      <c r="D8" s="15">
        <v>300</v>
      </c>
      <c r="E8" s="15">
        <v>1</v>
      </c>
      <c r="F8" s="15">
        <v>1</v>
      </c>
      <c r="G8" s="15">
        <v>5</v>
      </c>
      <c r="H8" s="15" t="s">
        <v>38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ht="27.75" customHeight="1">
      <c r="A9" s="15" t="s">
        <v>45</v>
      </c>
      <c r="B9" s="21" t="s">
        <v>46</v>
      </c>
      <c r="C9" s="14" t="s">
        <v>47</v>
      </c>
      <c r="D9" s="15">
        <v>300</v>
      </c>
      <c r="E9" s="15">
        <v>1</v>
      </c>
      <c r="F9" s="15">
        <v>1</v>
      </c>
      <c r="G9" s="15">
        <v>5</v>
      </c>
      <c r="H9" s="15" t="s">
        <v>38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27.75" customHeight="1">
      <c r="A10" s="15" t="s">
        <v>48</v>
      </c>
      <c r="B10" s="21" t="s">
        <v>49</v>
      </c>
      <c r="C10" s="14" t="s">
        <v>50</v>
      </c>
      <c r="D10" s="15">
        <v>300</v>
      </c>
      <c r="E10" s="15">
        <v>1</v>
      </c>
      <c r="F10" s="15">
        <v>1</v>
      </c>
      <c r="G10" s="15">
        <v>5</v>
      </c>
      <c r="H10" s="15" t="s">
        <v>38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ht="27.75" customHeight="1">
      <c r="A11" s="15" t="s">
        <v>51</v>
      </c>
      <c r="B11" s="21" t="s">
        <v>52</v>
      </c>
      <c r="C11" s="14" t="s">
        <v>47</v>
      </c>
      <c r="D11" s="15">
        <v>300</v>
      </c>
      <c r="E11" s="15">
        <v>1</v>
      </c>
      <c r="F11" s="15">
        <v>1</v>
      </c>
      <c r="G11" s="15">
        <v>5</v>
      </c>
      <c r="H11" s="15" t="s">
        <v>48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ht="27.75" customHeight="1">
      <c r="A12" s="15" t="s">
        <v>53</v>
      </c>
      <c r="B12" s="21" t="s">
        <v>54</v>
      </c>
      <c r="C12" s="14" t="s">
        <v>40</v>
      </c>
      <c r="D12" s="15">
        <v>300</v>
      </c>
      <c r="E12" s="15">
        <v>2</v>
      </c>
      <c r="F12" s="15">
        <v>1</v>
      </c>
      <c r="G12" s="15">
        <v>5</v>
      </c>
      <c r="H12" s="15" t="s">
        <v>38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ht="27.75" customHeight="1">
      <c r="A13" s="15" t="s">
        <v>55</v>
      </c>
      <c r="B13" s="22" t="s">
        <v>56</v>
      </c>
      <c r="C13" s="14" t="s">
        <v>44</v>
      </c>
      <c r="D13" s="15">
        <v>300</v>
      </c>
      <c r="E13" s="15">
        <v>2</v>
      </c>
      <c r="F13" s="15">
        <v>1</v>
      </c>
      <c r="G13" s="15">
        <v>5</v>
      </c>
      <c r="H13" s="15" t="s">
        <v>42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27.75" customHeight="1">
      <c r="A14" s="15" t="s">
        <v>57</v>
      </c>
      <c r="B14" s="21" t="s">
        <v>58</v>
      </c>
      <c r="C14" s="14" t="s">
        <v>47</v>
      </c>
      <c r="D14" s="15">
        <v>300</v>
      </c>
      <c r="E14" s="15">
        <v>2</v>
      </c>
      <c r="F14" s="15">
        <v>1</v>
      </c>
      <c r="G14" s="15">
        <v>5</v>
      </c>
      <c r="H14" s="15" t="s">
        <v>45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27.75" customHeight="1">
      <c r="A15" s="15" t="s">
        <v>59</v>
      </c>
      <c r="B15" s="21" t="s">
        <v>58</v>
      </c>
      <c r="C15" s="14" t="s">
        <v>50</v>
      </c>
      <c r="D15" s="15">
        <v>300</v>
      </c>
      <c r="E15" s="15">
        <v>2</v>
      </c>
      <c r="F15" s="15">
        <v>1</v>
      </c>
      <c r="G15" s="15">
        <v>5</v>
      </c>
      <c r="H15" s="15" t="s">
        <v>48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27.75" customHeight="1">
      <c r="A16" s="15" t="s">
        <v>60</v>
      </c>
      <c r="B16" s="21" t="s">
        <v>61</v>
      </c>
      <c r="C16" s="14" t="s">
        <v>47</v>
      </c>
      <c r="D16" s="15">
        <v>300</v>
      </c>
      <c r="E16" s="15">
        <v>2</v>
      </c>
      <c r="F16" s="15">
        <v>1</v>
      </c>
      <c r="G16" s="15">
        <v>5</v>
      </c>
      <c r="H16" s="15" t="s">
        <v>59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27.75" customHeight="1">
      <c r="A17" s="15" t="s">
        <v>62</v>
      </c>
      <c r="B17" s="21" t="s">
        <v>63</v>
      </c>
      <c r="C17" s="14" t="s">
        <v>40</v>
      </c>
      <c r="D17" s="15">
        <v>300</v>
      </c>
      <c r="E17" s="15">
        <v>3</v>
      </c>
      <c r="F17" s="15">
        <v>1</v>
      </c>
      <c r="G17" s="15">
        <v>5</v>
      </c>
      <c r="H17" s="15" t="s">
        <v>53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27.75" customHeight="1">
      <c r="A18" s="15" t="s">
        <v>64</v>
      </c>
      <c r="B18" s="21" t="s">
        <v>65</v>
      </c>
      <c r="C18" s="14" t="s">
        <v>44</v>
      </c>
      <c r="D18" s="15">
        <v>300</v>
      </c>
      <c r="E18" s="15">
        <v>3</v>
      </c>
      <c r="F18" s="15">
        <v>1</v>
      </c>
      <c r="G18" s="15">
        <v>5</v>
      </c>
      <c r="H18" s="15" t="s">
        <v>55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27.75" customHeight="1">
      <c r="A19" s="15" t="s">
        <v>66</v>
      </c>
      <c r="B19" s="21" t="s">
        <v>67</v>
      </c>
      <c r="C19" s="14" t="s">
        <v>47</v>
      </c>
      <c r="D19" s="15">
        <v>300</v>
      </c>
      <c r="E19" s="15">
        <v>3</v>
      </c>
      <c r="F19" s="15">
        <v>1</v>
      </c>
      <c r="G19" s="15">
        <v>5</v>
      </c>
      <c r="H19" s="15" t="s">
        <v>57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27.75" customHeight="1">
      <c r="A20" s="15" t="s">
        <v>68</v>
      </c>
      <c r="B20" t="s">
        <v>69</v>
      </c>
      <c r="C20" s="14" t="s">
        <v>50</v>
      </c>
      <c r="D20" s="15">
        <v>300</v>
      </c>
      <c r="E20" s="15">
        <v>3</v>
      </c>
      <c r="F20" s="15">
        <v>1</v>
      </c>
      <c r="G20" s="15">
        <v>5</v>
      </c>
      <c r="H20" s="15" t="s">
        <v>59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27.75" customHeight="1">
      <c r="A21" s="15" t="s">
        <v>70</v>
      </c>
      <c r="B21" s="21" t="s">
        <v>71</v>
      </c>
      <c r="C21" s="14" t="s">
        <v>47</v>
      </c>
      <c r="D21" s="15">
        <v>300</v>
      </c>
      <c r="E21" s="15">
        <v>3</v>
      </c>
      <c r="F21" s="15">
        <v>1</v>
      </c>
      <c r="G21" s="15">
        <v>5</v>
      </c>
      <c r="H21" s="15" t="s">
        <v>68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27.75" customHeight="1">
      <c r="A22" s="14"/>
      <c r="B22" s="14"/>
      <c r="C22" s="14"/>
      <c r="D22" s="15"/>
      <c r="E22" s="15"/>
      <c r="F22" s="15"/>
      <c r="G22" s="15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13">
    <mergeCell ref="A1:W1"/>
    <mergeCell ref="A2:W2"/>
    <mergeCell ref="A4:A6"/>
    <mergeCell ref="B4:B6"/>
    <mergeCell ref="C4:C6"/>
    <mergeCell ref="D4:D6"/>
    <mergeCell ref="E4:E6"/>
    <mergeCell ref="F4:F6"/>
    <mergeCell ref="G4:G6"/>
    <mergeCell ref="H4:H6"/>
    <mergeCell ref="I4:M4"/>
    <mergeCell ref="N4:R4"/>
    <mergeCell ref="S4:W4"/>
  </mergeCells>
  <conditionalFormatting sqref="I7:W22">
    <cfRule type="expression" dxfId="2" priority="2">
      <formula>AND(I$6&gt;=($E7-1)*5+$F7,I$6&lt;=($E7-1)*5+$F7+$G7-1)</formula>
    </cfRule>
  </conditionalFormatting>
  <dataValidations count="1">
    <dataValidation type="list" allowBlank="1" sqref="C7:C22" xr:uid="{00000000-0002-0000-0100-000000000000}">
      <formula1>"PM,Dev 1,Dev 2,UX/Research,Business/QA"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zoomScaleNormal="100" workbookViewId="0">
      <selection activeCell="A5" sqref="A5"/>
    </sheetView>
  </sheetViews>
  <sheetFormatPr defaultColWidth="8.7109375" defaultRowHeight="15"/>
  <cols>
    <col min="1" max="1" width="16" customWidth="1"/>
    <col min="2" max="4" width="13" customWidth="1"/>
    <col min="5" max="6" width="15" customWidth="1"/>
  </cols>
  <sheetData>
    <row r="1" spans="1:6" ht="19.5" customHeight="1">
      <c r="A1" s="29" t="s">
        <v>72</v>
      </c>
      <c r="B1" s="29"/>
      <c r="C1" s="29"/>
      <c r="D1" s="29"/>
      <c r="E1" s="29"/>
      <c r="F1" s="29"/>
    </row>
    <row r="2" spans="1:6">
      <c r="A2" s="30" t="s">
        <v>73</v>
      </c>
      <c r="B2" s="30"/>
      <c r="C2" s="30"/>
      <c r="D2" s="30"/>
      <c r="E2" s="30"/>
      <c r="F2" s="30"/>
    </row>
    <row r="4" spans="1:6" ht="25.5" customHeight="1">
      <c r="A4" s="1" t="s">
        <v>74</v>
      </c>
      <c r="B4" s="1" t="s">
        <v>75</v>
      </c>
      <c r="C4" s="1" t="s">
        <v>76</v>
      </c>
      <c r="D4" s="1" t="s">
        <v>77</v>
      </c>
      <c r="E4" s="1" t="s">
        <v>78</v>
      </c>
      <c r="F4" s="1" t="s">
        <v>79</v>
      </c>
    </row>
    <row r="5" spans="1:6">
      <c r="A5" s="16" t="s">
        <v>40</v>
      </c>
      <c r="B5" s="17">
        <f>SUMIFS('Task Plan &amp; Gantt'!$D$7:$D$22,'Task Plan &amp; Gantt'!$C$7:$C$22,$A5,'Task Plan &amp; Gantt'!$E$7:$E$22,1)</f>
        <v>300</v>
      </c>
      <c r="C5" s="17">
        <f>SUMIFS('Task Plan &amp; Gantt'!$D$7:$D$22,'Task Plan &amp; Gantt'!$C$7:$C$22,$A5,'Task Plan &amp; Gantt'!$E$7:$E$22,2)</f>
        <v>300</v>
      </c>
      <c r="D5" s="17">
        <f>SUMIFS('Task Plan &amp; Gantt'!$D$7:$D$22,'Task Plan &amp; Gantt'!$C$7:$C$22,$A5,'Task Plan &amp; Gantt'!$E$7:$E$22,3)</f>
        <v>300</v>
      </c>
      <c r="E5" s="18">
        <f>SUM(B5:D5)</f>
        <v>900</v>
      </c>
      <c r="F5" s="19">
        <f>E5/60</f>
        <v>15</v>
      </c>
    </row>
    <row r="6" spans="1:6">
      <c r="A6" s="16" t="s">
        <v>50</v>
      </c>
      <c r="B6" s="17">
        <f>SUMIFS('Task Plan &amp; Gantt'!$D$7:$D$22,'Task Plan &amp; Gantt'!$C$7:$C$22,$A6,'Task Plan &amp; Gantt'!$E$7:$E$22,1)</f>
        <v>300</v>
      </c>
      <c r="C6" s="17">
        <f>SUMIFS('Task Plan &amp; Gantt'!$D$7:$D$22,'Task Plan &amp; Gantt'!$C$7:$C$22,$A6,'Task Plan &amp; Gantt'!$E$7:$E$22,2)</f>
        <v>300</v>
      </c>
      <c r="D6" s="17">
        <f>SUMIFS('Task Plan &amp; Gantt'!$D$7:$D$22,'Task Plan &amp; Gantt'!$C$7:$C$22,$A6,'Task Plan &amp; Gantt'!$E$7:$E$22,3)</f>
        <v>300</v>
      </c>
      <c r="E6" s="18">
        <f>SUM(B6:D6)</f>
        <v>900</v>
      </c>
      <c r="F6" s="19">
        <f>E6/60</f>
        <v>15</v>
      </c>
    </row>
    <row r="7" spans="1:6">
      <c r="A7" s="16" t="s">
        <v>80</v>
      </c>
      <c r="B7" s="17">
        <f>SUMIFS('Task Plan &amp; Gantt'!$D$7:$D$22,'Task Plan &amp; Gantt'!$C$7:$C$22,$A7,'Task Plan &amp; Gantt'!$E$7:$E$22,1)</f>
        <v>0</v>
      </c>
      <c r="C7" s="17">
        <f>SUMIFS('Task Plan &amp; Gantt'!$D$7:$D$22,'Task Plan &amp; Gantt'!$C$7:$C$22,$A7,'Task Plan &amp; Gantt'!$E$7:$E$22,2)</f>
        <v>0</v>
      </c>
      <c r="D7" s="17">
        <f>SUMIFS('Task Plan &amp; Gantt'!$D$7:$D$22,'Task Plan &amp; Gantt'!$C$7:$C$22,$A7,'Task Plan &amp; Gantt'!$E$7:$E$22,3)</f>
        <v>0</v>
      </c>
      <c r="E7" s="18">
        <f>SUM(B7:D7)</f>
        <v>0</v>
      </c>
      <c r="F7" s="19">
        <f>E7/60</f>
        <v>0</v>
      </c>
    </row>
    <row r="8" spans="1:6">
      <c r="A8" s="16" t="s">
        <v>44</v>
      </c>
      <c r="B8" s="17">
        <f>SUMIFS('Task Plan &amp; Gantt'!$D$7:$D$22,'Task Plan &amp; Gantt'!$C$7:$C$22,$A8,'Task Plan &amp; Gantt'!$E$7:$E$22,1)</f>
        <v>300</v>
      </c>
      <c r="C8" s="17">
        <f>SUMIFS('Task Plan &amp; Gantt'!$D$7:$D$22,'Task Plan &amp; Gantt'!$C$7:$C$22,$A8,'Task Plan &amp; Gantt'!$E$7:$E$22,2)</f>
        <v>300</v>
      </c>
      <c r="D8" s="17">
        <f>SUMIFS('Task Plan &amp; Gantt'!$D$7:$D$22,'Task Plan &amp; Gantt'!$C$7:$C$22,$A8,'Task Plan &amp; Gantt'!$E$7:$E$22,3)</f>
        <v>300</v>
      </c>
      <c r="E8" s="18">
        <f>SUM(B8:D8)</f>
        <v>900</v>
      </c>
      <c r="F8" s="19">
        <f>E8/60</f>
        <v>15</v>
      </c>
    </row>
    <row r="9" spans="1:6">
      <c r="A9" s="16" t="s">
        <v>47</v>
      </c>
      <c r="B9" s="17">
        <f>SUMIFS('Task Plan &amp; Gantt'!$D$7:$D$22,'Task Plan &amp; Gantt'!$C$7:$C$22,$A9,'Task Plan &amp; Gantt'!$E$7:$E$22,1)</f>
        <v>600</v>
      </c>
      <c r="C9" s="17">
        <f>SUMIFS('Task Plan &amp; Gantt'!$D$7:$D$22,'Task Plan &amp; Gantt'!$C$7:$C$22,$A9,'Task Plan &amp; Gantt'!$E$7:$E$22,2)</f>
        <v>600</v>
      </c>
      <c r="D9" s="17">
        <f>SUMIFS('Task Plan &amp; Gantt'!$D$7:$D$22,'Task Plan &amp; Gantt'!$C$7:$C$22,$A9,'Task Plan &amp; Gantt'!$E$7:$E$22,3)</f>
        <v>600</v>
      </c>
      <c r="E9" s="18">
        <f>SUM(B9:D9)</f>
        <v>1800</v>
      </c>
      <c r="F9" s="19">
        <f>E9/60</f>
        <v>30</v>
      </c>
    </row>
    <row r="11" spans="1:6" ht="27.75" customHeight="1">
      <c r="A11" s="26" t="s">
        <v>81</v>
      </c>
      <c r="B11" s="26"/>
      <c r="C11" s="26"/>
      <c r="D11" s="26"/>
      <c r="E11" s="26"/>
      <c r="F11" s="26"/>
    </row>
  </sheetData>
  <mergeCells count="3">
    <mergeCell ref="A1:F1"/>
    <mergeCell ref="A2:F2"/>
    <mergeCell ref="A11:F11"/>
  </mergeCells>
  <conditionalFormatting sqref="B5:D9">
    <cfRule type="expression" dxfId="1" priority="2">
      <formula>B5&gt;=240</formula>
    </cfRule>
    <cfRule type="expression" dxfId="0" priority="3">
      <formula>B5&lt;240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827A9AAD5EE45BAE42C53319B4D0E" ma:contentTypeVersion="8" ma:contentTypeDescription="Create a new document." ma:contentTypeScope="" ma:versionID="b31f3af5e32ebab0832dcf7cde591e39">
  <xsd:schema xmlns:xsd="http://www.w3.org/2001/XMLSchema" xmlns:xs="http://www.w3.org/2001/XMLSchema" xmlns:p="http://schemas.microsoft.com/office/2006/metadata/properties" xmlns:ns2="516545f7-c74e-465d-afb3-1e1d255e341e" targetNamespace="http://schemas.microsoft.com/office/2006/metadata/properties" ma:root="true" ma:fieldsID="196c0c85e6d6fef1a36a55ce48659ac7" ns2:_="">
    <xsd:import namespace="516545f7-c74e-465d-afb3-1e1d255e3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545f7-c74e-465d-afb3-1e1d255e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6545f7-c74e-465d-afb3-1e1d255e3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C9C342-3988-4A24-9D9E-6527DAEF7344}"/>
</file>

<file path=customXml/itemProps2.xml><?xml version="1.0" encoding="utf-8"?>
<ds:datastoreItem xmlns:ds="http://schemas.openxmlformats.org/officeDocument/2006/customXml" ds:itemID="{74FF981A-75AC-46FE-A6C8-1B49A17E99BE}"/>
</file>

<file path=customXml/itemProps3.xml><?xml version="1.0" encoding="utf-8"?>
<ds:datastoreItem xmlns:ds="http://schemas.openxmlformats.org/officeDocument/2006/customXml" ds:itemID="{B4082DED-87C9-44A1-BD2C-5ADE1CE4C54A}"/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2026-09-01T08:03:46Z</dcterms:created>
  <dcterms:modified xsi:type="dcterms:W3CDTF">2026-09-13T10:43:32Z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0x010100A1F827A9AAD5EE45BAE42C53319B4D0E</vt:lpwstr>
  </property>
  <property fmtid="{D5CDD505-2E9C-101B-9397-08002B2CF9AE}" pid="3" name="MediaServiceImageTags">
    <vt:lpwstr/>
  </property>
</Properties>
</file>